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s" sheetId="2" state="visible" r:id="rId4"/>
    <sheet name="Summary" sheetId="3" state="visible" r:id="rId5"/>
    <sheet name="Evidence" sheetId="4" state="visible" r:id="rId6"/>
    <sheet name="Overrides" sheetId="5" state="visible" r:id="rId7"/>
  </sheets>
  <definedNames>
    <definedName function="false" hidden="true" localSheetId="1" name="_xlnm._FilterDatabase" vbProcedure="false">Accounts!$A$1:$T$7</definedName>
    <definedName function="false" hidden="true" localSheetId="3" name="_xlnm._FilterDatabase" vbProcedure="false">Evidence!$A$1:$H$37</definedName>
    <definedName function="false" hidden="true" localSheetId="4" name="_xlnm._FilterDatabase" vbProcedure="false">Overrides!$A$1:$C$2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<sst xmlns="http://schemas.openxmlformats.org/spreadsheetml/2006/main" count="413" uniqueCount="206">
  <si>
    <t xml:space="preserve">EasySLR account research: read me</t>
  </si>
  <si>
    <t xml:space="preserve">Accounts: one row per organisation, ranked by human_rank. human_verdict is the researcher's ranking; final_action is the tool's result after any override.</t>
  </si>
  <si>
    <t xml:space="preserve">Evidence: one row per claim. tag is Verified (a fact with a source URL), Interpretation (analyst judgement, no source) or Unknown (looked for, not found).</t>
  </si>
  <si>
    <t xml:space="preserve">Overrides: decisions a person made against the rule-based suggestion, each with a reason.</t>
  </si>
  <si>
    <t xml:space="preserve">Summary: counts of final_action, calculated by formula.</t>
  </si>
  <si>
    <t xml:space="preserve">Only Verified rows carry source URLs. checked_by_you = Y means the researcher opened that source.</t>
  </si>
  <si>
    <t xml:space="preserve">Generated from accounts_tool.py. The tool suggests actions; a person makes the decision.</t>
  </si>
  <si>
    <t xml:space="preserve">account</t>
  </si>
  <si>
    <t xml:space="preserve">domain</t>
  </si>
  <si>
    <t xml:space="preserve">hq</t>
  </si>
  <si>
    <t xml:space="preserve">human_rank</t>
  </si>
  <si>
    <t xml:space="preserve">human_verdict</t>
  </si>
  <si>
    <t xml:space="preserve">verified_count</t>
  </si>
  <si>
    <t xml:space="preserve">interpretation_count</t>
  </si>
  <si>
    <t xml:space="preserve">unknown_count</t>
  </si>
  <si>
    <t xml:space="preserve">verified_unchecked</t>
  </si>
  <si>
    <t xml:space="preserve">facts_verified</t>
  </si>
  <si>
    <t xml:space="preserve">interpretations</t>
  </si>
  <si>
    <t xml:space="preserve">unknowns</t>
  </si>
  <si>
    <t xml:space="preserve">source_urls</t>
  </si>
  <si>
    <t xml:space="preserve">flags</t>
  </si>
  <si>
    <t xml:space="preserve">suggested_action</t>
  </si>
  <si>
    <t xml:space="preserve">suggested_reason</t>
  </si>
  <si>
    <t xml:space="preserve">override_action</t>
  </si>
  <si>
    <t xml:space="preserve">override_reason</t>
  </si>
  <si>
    <t xml:space="preserve">final_action</t>
  </si>
  <si>
    <t xml:space="preserve">needs_human_review</t>
  </si>
  <si>
    <t xml:space="preserve">Pharmacoevidence</t>
  </si>
  <si>
    <t xml:space="preserve">pharmacoevidence.com</t>
  </si>
  <si>
    <t xml:space="preserve">Mohali, India</t>
  </si>
  <si>
    <t xml:space="preserve">1</t>
  </si>
  <si>
    <t xml:space="preserve">Top three (one-call pick)</t>
  </si>
  <si>
    <t xml:space="preserve">7</t>
  </si>
  <si>
    <t xml:space="preserve">3</t>
  </si>
  <si>
    <t xml:space="preserve">0</t>
  </si>
  <si>
    <t xml:space="preserve">Services: Specialises in systematic literature reviews, meta-analysis, NMA, economic modelling, medical writing and AI solutions | Team size: 26 India-based employees | Team size: 22 India-based employees (Great Place to Work listing) | Founded: Established in 2020 | Size class: Small business (1-10M TTM revenue) | Clients: Supports global SLR, NMA, modelling and writing projects for pharma companies and consultancies worldwide | In-house tooling: Has its own Pharmacoevidence AI/ML tool, used as a secondary screener in a NICE UK HTA submission (Nov 2025), per a poster whose contact address is at pharmacoevidence.com</t>
  </si>
  <si>
    <t xml:space="preserve">Fit: SLR is core work for them, so review efficiency matters to their delivery | Channel potential: Serving other consultancies could make them a channel as well as a customer | Build vs buy: They already run their own AI tool, so EasySLR would have to complement it (partner, channel, or review types their tool does not cover) rather than replace it</t>
  </si>
  <si>
    <t xml:space="preserve">Third-party tools: Whether they would use an external platform alongside their own tool not found</t>
  </si>
  <si>
    <t xml:space="preserve">https://app.scientist.com/providers/pharmacoevidence-pvt-ltd | https://www.greatplacetowork.in/great/company/pharmacoevidence | https://www.greatplacetowork.in/our-mission/ | https://www.ispor.org/docs/default-source/cti-meeting-21305-documents/1c2eb679-7018-411d-bf51-db33bf81cf93.pdf?sfvrsn=a400d8ae_0 | https://www.pharmacoevidence.com/about | https://www.pharmacoevidence.com/publications</t>
  </si>
  <si>
    <t xml:space="preserve">missing volume: not researched; missing ai_tooling: unknown (looked, not found); missing buyer: not researched</t>
  </si>
  <si>
    <t xml:space="preserve">Defer</t>
  </si>
  <si>
    <t xml:space="preserve">Verified in-house tooling makes buying a platform harder</t>
  </si>
  <si>
    <t xml:space="preserve">Discovery call candidate</t>
  </si>
  <si>
    <t xml:space="preserve">Tool says Defer because they have their own AI tool. Keeping the call to test whether they would use an external platform for review types their tool does not cover or act as a channel. Switch the one call to Source Health Economics if they rule out third-party tools.</t>
  </si>
  <si>
    <t xml:space="preserve">Y</t>
  </si>
  <si>
    <t xml:space="preserve">Source Health Economics</t>
  </si>
  <si>
    <t xml:space="preserve">source-he.com</t>
  </si>
  <si>
    <t xml:space="preserve">Oxford, UK</t>
  </si>
  <si>
    <t xml:space="preserve">2</t>
  </si>
  <si>
    <t xml:space="preserve">Top three</t>
  </si>
  <si>
    <t xml:space="preserve">4</t>
  </si>
  <si>
    <t xml:space="preserve">Services: Consultancy specialising in health economics, data analysis, systematic literature review, medical writing and HTA | Founded: Established in 2016, based in Oxford, UK | Team size: 33 employees, offices in London and Oxford (per the sale-adviser page, undated) | Ownership: Sold to SCIRIS, a Waterland-backed group with over 300 employees (deal date not on the page)</t>
  </si>
  <si>
    <t xml:space="preserve">Buying process: Now part of a larger group, so tool decisions may sit with SCIRIS rather than Source</t>
  </si>
  <si>
    <t xml:space="preserve">Size class: revenue/ scale of business not found | Review volume: Number of SLRs delivered per year not found | AI use: Whether they use AI or which review tools they use not found | Decision owner: Whether Source still chooses its own review tools after the sale not found</t>
  </si>
  <si>
    <t xml:space="preserve">https://source-he.com/ | https://source-he.com/services/ | https://www.clearwaterinternational.com/transactions/clearwater-international-advises-source-health-economics-on-its-sale-to-waterland-backed-sciris</t>
  </si>
  <si>
    <t xml:space="preserve">missing volume: unknown (looked, not found); missing ai_tooling: unknown (looked, not found); missing buyer: unknown (looked, not found)</t>
  </si>
  <si>
    <t xml:space="preserve">Verified need signal and no blocking flags</t>
  </si>
  <si>
    <t xml:space="preserve">ICON Health Economics</t>
  </si>
  <si>
    <t xml:space="preserve">iconplc.com</t>
  </si>
  <si>
    <t xml:space="preserve">UK, US  (ICON plc)</t>
  </si>
  <si>
    <t xml:space="preserve">Top three (research more before a call)</t>
  </si>
  <si>
    <t xml:space="preserve">Hiring: Health Economics practice advertised a Consultant/Health Economist role centred on systematic literature reviews and network meta-analyses; the post is marked expired | Offices: Health Economics group has offices in Abingdon and London (UK) and New York and Boston (USA), per the same expired job post</t>
  </si>
  <si>
    <t xml:space="preserve">Volume: Dedicated reviewer roles suggest steady SLR volume | Buying process: Division of a large CRO, so procurement and security review likely slow a pilot</t>
  </si>
  <si>
    <t xml:space="preserve">Post dates: No live SLR vacancy confirmed; posting dates not shown on the job page</t>
  </si>
  <si>
    <t xml:space="preserve">https://careers.iconplc.com/job/consultant-health-economist-systematic-literature-reviews-in-various-jid-7636</t>
  </si>
  <si>
    <t xml:space="preserve">missing services: not researched; missing headcount: not researched; missing volume: not researched; missing ai_tooling: not researched; missing buyer: not researched; 2 Verified claim(s) from an expired or old source</t>
  </si>
  <si>
    <t xml:space="preserve">Research more</t>
  </si>
  <si>
    <t xml:space="preserve">Fewer than 3 Verified facts or no verified SLR-need signal</t>
  </si>
  <si>
    <t xml:space="preserve">Costello Medical</t>
  </si>
  <si>
    <t xml:space="preserve">costellomedical.com</t>
  </si>
  <si>
    <t xml:space="preserve">UK, US, APAC</t>
  </si>
  <si>
    <t xml:space="preserve">Services: Leading agency for HEOR projects including literature reviews | Team size: Over 500 staff | In-house tooling: Built a bespoke web application managing record screening and tested AI-generated PICOS summaries; abstract review rate rose from 60 to 90 per hour in a limited test</t>
  </si>
  <si>
    <t xml:space="preserve">Build vs buy: Existing in-house tooling makes buying a platform a harder sell</t>
  </si>
  <si>
    <t xml:space="preserve">Other platforms: Whether they also license third-party SLR platforms not found</t>
  </si>
  <si>
    <t xml:space="preserve">https://connect.ismpp.org/marketplace/costello | https://www.costellomedical.com/ | https://www.ispor.org/heor-resources/presentations-database/presentation/euro2024-4015/146197</t>
  </si>
  <si>
    <t xml:space="preserve">Maven</t>
  </si>
  <si>
    <t xml:space="preserve">mavenrs.com</t>
  </si>
  <si>
    <t xml:space="preserve">Not confirmed</t>
  </si>
  <si>
    <t xml:space="preserve">5</t>
  </si>
  <si>
    <t xml:space="preserve">Services: Site lists NLP-enabled literature reviews and proprietary AI/ML tools</t>
  </si>
  <si>
    <t xml:space="preserve">Legal name: Legal entity name not confirmed | Size: Headcount not confirmed | Customers: Customer base not confirmed</t>
  </si>
  <si>
    <t xml:space="preserve">https://www.mavenrs.com/health-economics-and-outcomes-research</t>
  </si>
  <si>
    <t xml:space="preserve">missing headcount: unknown (looked, not found); missing volume: not researched; missing ai_tooling: not researched; missing buyer: not researched</t>
  </si>
  <si>
    <t xml:space="preserve">Evalueserve</t>
  </si>
  <si>
    <t xml:space="preserve">evalueserve.com</t>
  </si>
  <si>
    <t xml:space="preserve">6</t>
  </si>
  <si>
    <t xml:space="preserve">Exclude</t>
  </si>
  <si>
    <t xml:space="preserve">Product: Sells LitVerse, a living-SLR platform with Lit.AI automation handling screening and structured extraction</t>
  </si>
  <si>
    <t xml:space="preserve">Competition: Sells a competing product, so not a prospect</t>
  </si>
  <si>
    <t xml:space="preserve">https://www.evalueserve.com/?p=34008</t>
  </si>
  <si>
    <t xml:space="preserve">missing services: not researched; missing headcount: not researched; missing volume: not researched; missing ai_tooling: not researched; missing buyer: not researched</t>
  </si>
  <si>
    <t xml:space="preserve">Verified evidence that they sell a competing product</t>
  </si>
  <si>
    <t xml:space="preserve">Final action</t>
  </si>
  <si>
    <t xml:space="preserve">Accounts</t>
  </si>
  <si>
    <t xml:space="preserve">Resolve duplicate</t>
  </si>
  <si>
    <t xml:space="preserve">Resolve conflict</t>
  </si>
  <si>
    <t xml:space="preserve">Total</t>
  </si>
  <si>
    <t xml:space="preserve">Counts recalculate from the Accounts sheet. Final action = override if one exists, otherwise the rule-based suggestion.</t>
  </si>
  <si>
    <t xml:space="preserve">topic</t>
  </si>
  <si>
    <t xml:space="preserve">field</t>
  </si>
  <si>
    <t xml:space="preserve">claim</t>
  </si>
  <si>
    <t xml:space="preserve">tag</t>
  </si>
  <si>
    <t xml:space="preserve">source_url</t>
  </si>
  <si>
    <t xml:space="preserve">source_date</t>
  </si>
  <si>
    <t xml:space="preserve">checked_by_you</t>
  </si>
  <si>
    <t xml:space="preserve">services</t>
  </si>
  <si>
    <t xml:space="preserve">Services</t>
  </si>
  <si>
    <t xml:space="preserve">Specialises in systematic literature reviews, meta-analysis, NMA, economic modelling, medical writing and AI solutions</t>
  </si>
  <si>
    <t xml:space="preserve">Verified</t>
  </si>
  <si>
    <t xml:space="preserve">https://www.pharmacoevidence.com/about</t>
  </si>
  <si>
    <t xml:space="preserve">undated</t>
  </si>
  <si>
    <t xml:space="preserve">headcount</t>
  </si>
  <si>
    <t xml:space="preserve">Team size</t>
  </si>
  <si>
    <t xml:space="preserve">26 India-based employees</t>
  </si>
  <si>
    <t xml:space="preserve">22 India-based employees (Great Place to Work listing)</t>
  </si>
  <si>
    <t xml:space="preserve">https://www.greatplacetowork.in/great/company/pharmacoevidence</t>
  </si>
  <si>
    <t xml:space="preserve">founded</t>
  </si>
  <si>
    <t xml:space="preserve">Founded</t>
  </si>
  <si>
    <t xml:space="preserve">Established in 2020</t>
  </si>
  <si>
    <t xml:space="preserve">https://www.greatplacetowork.in/our-mission/</t>
  </si>
  <si>
    <t xml:space="preserve">size_class</t>
  </si>
  <si>
    <t xml:space="preserve">Size class</t>
  </si>
  <si>
    <t xml:space="preserve">Small business (1-10M TTM revenue)</t>
  </si>
  <si>
    <t xml:space="preserve">https://app.scientist.com/providers/pharmacoevidence-pvt-ltd</t>
  </si>
  <si>
    <t xml:space="preserve">clients</t>
  </si>
  <si>
    <t xml:space="preserve">Clients</t>
  </si>
  <si>
    <t xml:space="preserve">Supports global SLR, NMA, modelling and writing projects for pharma companies and consultancies worldwide</t>
  </si>
  <si>
    <t xml:space="preserve">https://www.pharmacoevidence.com/publications</t>
  </si>
  <si>
    <t xml:space="preserve">fit</t>
  </si>
  <si>
    <t xml:space="preserve">Fit</t>
  </si>
  <si>
    <t xml:space="preserve">SLR is core work for them, so review efficiency matters to their delivery</t>
  </si>
  <si>
    <t xml:space="preserve">Interpretation</t>
  </si>
  <si>
    <t xml:space="preserve">Analyst judgement from rows above</t>
  </si>
  <si>
    <t xml:space="preserve">channel</t>
  </si>
  <si>
    <t xml:space="preserve">Channel potential</t>
  </si>
  <si>
    <t xml:space="preserve">Serving other consultancies could make them a channel as well as a customer</t>
  </si>
  <si>
    <t xml:space="preserve">in_house_tool</t>
  </si>
  <si>
    <t xml:space="preserve">In-house tooling</t>
  </si>
  <si>
    <t xml:space="preserve">Has its own Pharmacoevidence AI/ML tool, used as a secondary screener in a NICE UK HTA submission (Nov 2025), per a poster whose contact address is at pharmacoevidence.com</t>
  </si>
  <si>
    <t xml:space="preserve">https://www.ispor.org/docs/default-source/cti-meeting-21305-documents/1c2eb679-7018-411d-bf51-db33bf81cf93.pdf?sfvrsn=a400d8ae_0</t>
  </si>
  <si>
    <t xml:space="preserve">cites Nov 2025</t>
  </si>
  <si>
    <t xml:space="preserve">build_vs_buy</t>
  </si>
  <si>
    <t xml:space="preserve">Build vs buy</t>
  </si>
  <si>
    <t xml:space="preserve">They already run their own AI tool, so EasySLR would have to complement it (partner, channel, or review types their tool does not cover) rather than replace it</t>
  </si>
  <si>
    <t xml:space="preserve">ai_tooling</t>
  </si>
  <si>
    <t xml:space="preserve">Third-party tools</t>
  </si>
  <si>
    <t xml:space="preserve">Whether they would use an external platform alongside their own tool not found</t>
  </si>
  <si>
    <t xml:space="preserve">Unknown</t>
  </si>
  <si>
    <t xml:space="preserve">Not found</t>
  </si>
  <si>
    <t xml:space="preserve">Consultancy specialising in health economics, data analysis, systematic literature review, medical writing and HTA</t>
  </si>
  <si>
    <t xml:space="preserve">https://source-he.com/services/</t>
  </si>
  <si>
    <t xml:space="preserve">Established in 2016, based in Oxford, UK</t>
  </si>
  <si>
    <t xml:space="preserve">https://source-he.com/</t>
  </si>
  <si>
    <t xml:space="preserve">revenue/ scale of business not found</t>
  </si>
  <si>
    <t xml:space="preserve">volume</t>
  </si>
  <si>
    <t xml:space="preserve">Review volume</t>
  </si>
  <si>
    <t xml:space="preserve">Number of SLRs delivered per year not found</t>
  </si>
  <si>
    <t xml:space="preserve">AI use</t>
  </si>
  <si>
    <t xml:space="preserve">Whether they use AI or which review tools they use not found</t>
  </si>
  <si>
    <t xml:space="preserve">hiring</t>
  </si>
  <si>
    <t xml:space="preserve">Hiring</t>
  </si>
  <si>
    <t xml:space="preserve">Health Economics practice advertised a Consultant/Health Economist role centred on systematic literature reviews and network meta-analyses; the post is marked expired</t>
  </si>
  <si>
    <t xml:space="preserve">expired (undated)</t>
  </si>
  <si>
    <t xml:space="preserve">offices</t>
  </si>
  <si>
    <t xml:space="preserve">Offices</t>
  </si>
  <si>
    <t xml:space="preserve">Health Economics group has offices in Abingdon and London (UK) and New York and Boston (USA), per the same expired job post</t>
  </si>
  <si>
    <t xml:space="preserve">Volume</t>
  </si>
  <si>
    <t xml:space="preserve">Dedicated reviewer roles suggest steady SLR volume</t>
  </si>
  <si>
    <t xml:space="preserve">buyer</t>
  </si>
  <si>
    <t xml:space="preserve">Buying process</t>
  </si>
  <si>
    <t xml:space="preserve">Division of a large CRO, so procurement and security review likely slow a pilot</t>
  </si>
  <si>
    <t xml:space="preserve">dates</t>
  </si>
  <si>
    <t xml:space="preserve">Post dates</t>
  </si>
  <si>
    <t xml:space="preserve">No live SLR vacancy confirmed; posting dates not shown on the job page</t>
  </si>
  <si>
    <t xml:space="preserve">Leading agency for HEOR projects including literature reviews</t>
  </si>
  <si>
    <t xml:space="preserve">https://www.costellomedical.com/</t>
  </si>
  <si>
    <t xml:space="preserve">Over 500 staff</t>
  </si>
  <si>
    <t xml:space="preserve">https://connect.ismpp.org/marketplace/costello</t>
  </si>
  <si>
    <t xml:space="preserve">Built a bespoke web application managing record screening and tested AI-generated PICOS summaries; abstract review rate rose from 60 to 90 per hour in a limited test</t>
  </si>
  <si>
    <t xml:space="preserve">https://www.ispor.org/heor-resources/presentations-database/presentation/euro2024-4015/146197</t>
  </si>
  <si>
    <t xml:space="preserve">2024</t>
  </si>
  <si>
    <t xml:space="preserve">Existing in-house tooling makes buying a platform a harder sell</t>
  </si>
  <si>
    <t xml:space="preserve">Other platforms</t>
  </si>
  <si>
    <t xml:space="preserve">Whether they also license third-party SLR platforms not found</t>
  </si>
  <si>
    <t xml:space="preserve">Site lists NLP-enabled literature reviews and proprietary AI/ML tools</t>
  </si>
  <si>
    <t xml:space="preserve">legal_name</t>
  </si>
  <si>
    <t xml:space="preserve">Legal name</t>
  </si>
  <si>
    <t xml:space="preserve">Legal entity name not confirmed</t>
  </si>
  <si>
    <t xml:space="preserve">Size</t>
  </si>
  <si>
    <t xml:space="preserve">Headcount not confirmed</t>
  </si>
  <si>
    <t xml:space="preserve">Customers</t>
  </si>
  <si>
    <t xml:space="preserve">Customer base not confirmed</t>
  </si>
  <si>
    <t xml:space="preserve">competitor</t>
  </si>
  <si>
    <t xml:space="preserve">Product</t>
  </si>
  <si>
    <t xml:space="preserve">Sells LitVerse, a living-SLR platform with Lit.AI automation handling screening and structured extraction</t>
  </si>
  <si>
    <t xml:space="preserve">Competition</t>
  </si>
  <si>
    <t xml:space="preserve">Sells a competing product, so not a prospect</t>
  </si>
  <si>
    <t xml:space="preserve">33 employees, offices in London and Oxford (per the sale-adviser page, undated)</t>
  </si>
  <si>
    <t xml:space="preserve">https://www.clearwaterinternational.com/transactions/clearwater-international-advises-source-health-economics-on-its-sale-to-waterland-backed-sciris</t>
  </si>
  <si>
    <t xml:space="preserve">ownership</t>
  </si>
  <si>
    <t xml:space="preserve">Ownership</t>
  </si>
  <si>
    <t xml:space="preserve">Sold to SCIRIS, a Waterland-backed group with over 300 employees (deal date not on the page)</t>
  </si>
  <si>
    <t xml:space="preserve">Now part of a larger group, so tool decisions may sit with SCIRIS rather than Source</t>
  </si>
  <si>
    <t xml:space="preserve">Decision owner</t>
  </si>
  <si>
    <t xml:space="preserve">Whether Source still chooses its own review tools after the sale not found</t>
  </si>
  <si>
    <t xml:space="preserve">reason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</si>
</sst>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9E1F2"/>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2" t="s">
        <v>5</v>
      </c>
    </row>
    <row r="9" customFormat="false" ht="15" hidden="false" customHeight="false" outlineLevel="0" collapsed="false">
      <c r="A9" s="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48"/>
    <col collapsed="false" customWidth="true" hidden="false" outlineLevel="0" max="9" min="6" style="0" width="18"/>
    <col collapsed="false" customWidth="true" hidden="false" outlineLevel="0" max="14" min="10" style="0" width="48"/>
    <col collapsed="false" customWidth="true" hidden="false" outlineLevel="0" max="15" min="15" style="0" width="18"/>
    <col collapsed="false" customWidth="true" hidden="false" outlineLevel="0" max="16" min="16" style="0" width="48"/>
    <col collapsed="false" customWidth="true" hidden="false" outlineLevel="0" max="17" min="17" style="0" width="18"/>
    <col collapsed="false" customWidth="true" hidden="false" outlineLevel="0" max="18" min="18" style="0" width="48"/>
    <col collapsed="false" customWidth="true" hidden="false" outlineLevel="0" max="20" min="19" style="0" width="18"/>
  </cols>
  <sheetData>
    <row r="1" customFormat="false" ht="23.85" hidden="false" customHeight="false" outlineLevel="0" collapsed="false">
      <c r="A1" s="3" t="s">
        <v>7</v>
      </c>
      <c r="B1" s="3" t="s">
        <v>8</v>
      </c>
      <c r="C1" s="3" t="s">
        <v>9</v>
      </c>
      <c r="D1" s="3" t="s">
        <v>10</v>
      </c>
      <c r="E1" s="3" t="s">
        <v>11</v>
      </c>
      <c r="F1" s="3" t="s">
        <v>12</v>
      </c>
      <c r="G1" s="3" t="s">
        <v>13</v>
      </c>
      <c r="H1" s="3" t="s">
        <v>14</v>
      </c>
      <c r="I1" s="3" t="s">
        <v>15</v>
      </c>
      <c r="J1" s="3" t="s">
        <v>16</v>
      </c>
      <c r="K1" s="3" t="s">
        <v>17</v>
      </c>
      <c r="L1" s="3" t="s">
        <v>18</v>
      </c>
      <c r="M1" s="3" t="s">
        <v>19</v>
      </c>
      <c r="N1" s="3" t="s">
        <v>20</v>
      </c>
      <c r="O1" s="3" t="s">
        <v>21</v>
      </c>
      <c r="P1" s="3" t="s">
        <v>22</v>
      </c>
      <c r="Q1" s="3" t="s">
        <v>23</v>
      </c>
      <c r="R1" s="3" t="s">
        <v>24</v>
      </c>
      <c r="S1" s="3" t="s">
        <v>25</v>
      </c>
      <c r="T1" s="3" t="s">
        <v>26</v>
      </c>
    </row>
    <row r="2" customFormat="false" ht="135.8" hidden="false" customHeight="false" outlineLevel="0" collapsed="false">
      <c r="A2" s="4" t="s">
        <v>27</v>
      </c>
      <c r="B2" s="4" t="s">
        <v>28</v>
      </c>
      <c r="C2" s="4" t="s">
        <v>29</v>
      </c>
      <c r="D2" s="4" t="s">
        <v>30</v>
      </c>
      <c r="E2" s="4" t="s">
        <v>31</v>
      </c>
      <c r="F2" s="4" t="s">
        <v>32</v>
      </c>
      <c r="G2" s="4" t="s">
        <v>33</v>
      </c>
      <c r="H2" s="4" t="s">
        <v>30</v>
      </c>
      <c r="I2" s="4" t="s">
        <v>34</v>
      </c>
      <c r="J2" s="4" t="s">
        <v>35</v>
      </c>
      <c r="K2" s="4" t="s">
        <v>36</v>
      </c>
      <c r="L2" s="4" t="s">
        <v>37</v>
      </c>
      <c r="M2" s="4" t="s">
        <v>38</v>
      </c>
      <c r="N2" s="4" t="s">
        <v>39</v>
      </c>
      <c r="O2" s="4" t="s">
        <v>40</v>
      </c>
      <c r="P2" s="4" t="s">
        <v>41</v>
      </c>
      <c r="Q2" s="4" t="s">
        <v>42</v>
      </c>
      <c r="R2" s="4" t="s">
        <v>43</v>
      </c>
      <c r="S2" s="4" t="s">
        <v>42</v>
      </c>
      <c r="T2" s="4" t="s">
        <v>44</v>
      </c>
    </row>
    <row r="3" customFormat="false" ht="79.85" hidden="false" customHeight="false" outlineLevel="0" collapsed="false">
      <c r="A3" s="4" t="s">
        <v>45</v>
      </c>
      <c r="B3" s="4" t="s">
        <v>46</v>
      </c>
      <c r="C3" s="4" t="s">
        <v>47</v>
      </c>
      <c r="D3" s="4" t="s">
        <v>48</v>
      </c>
      <c r="E3" s="4" t="s">
        <v>49</v>
      </c>
      <c r="F3" s="4" t="s">
        <v>50</v>
      </c>
      <c r="G3" s="4" t="s">
        <v>30</v>
      </c>
      <c r="H3" s="4" t="s">
        <v>50</v>
      </c>
      <c r="I3" s="4" t="s">
        <v>34</v>
      </c>
      <c r="J3" s="4" t="s">
        <v>51</v>
      </c>
      <c r="K3" s="4" t="s">
        <v>52</v>
      </c>
      <c r="L3" s="4" t="s">
        <v>53</v>
      </c>
      <c r="M3" s="4" t="s">
        <v>54</v>
      </c>
      <c r="N3" s="4" t="s">
        <v>55</v>
      </c>
      <c r="O3" s="4" t="s">
        <v>42</v>
      </c>
      <c r="P3" s="4" t="s">
        <v>56</v>
      </c>
      <c r="Q3" s="4"/>
      <c r="R3" s="4"/>
      <c r="S3" s="4" t="s">
        <v>42</v>
      </c>
      <c r="T3" s="4" t="s">
        <v>44</v>
      </c>
    </row>
    <row r="4" customFormat="false" ht="68.65" hidden="false" customHeight="false" outlineLevel="0" collapsed="false">
      <c r="A4" s="4" t="s">
        <v>57</v>
      </c>
      <c r="B4" s="4" t="s">
        <v>58</v>
      </c>
      <c r="C4" s="4" t="s">
        <v>59</v>
      </c>
      <c r="D4" s="4" t="s">
        <v>33</v>
      </c>
      <c r="E4" s="4" t="s">
        <v>60</v>
      </c>
      <c r="F4" s="4" t="s">
        <v>48</v>
      </c>
      <c r="G4" s="4" t="s">
        <v>48</v>
      </c>
      <c r="H4" s="4" t="s">
        <v>30</v>
      </c>
      <c r="I4" s="4" t="s">
        <v>34</v>
      </c>
      <c r="J4" s="4" t="s">
        <v>61</v>
      </c>
      <c r="K4" s="4" t="s">
        <v>62</v>
      </c>
      <c r="L4" s="4" t="s">
        <v>63</v>
      </c>
      <c r="M4" s="4" t="s">
        <v>64</v>
      </c>
      <c r="N4" s="4" t="s">
        <v>65</v>
      </c>
      <c r="O4" s="4" t="s">
        <v>66</v>
      </c>
      <c r="P4" s="4" t="s">
        <v>67</v>
      </c>
      <c r="Q4" s="4"/>
      <c r="R4" s="4"/>
      <c r="S4" s="4" t="s">
        <v>66</v>
      </c>
      <c r="T4" s="4" t="s">
        <v>44</v>
      </c>
    </row>
    <row r="5" customFormat="false" ht="68.65" hidden="false" customHeight="false" outlineLevel="0" collapsed="false">
      <c r="A5" s="4" t="s">
        <v>68</v>
      </c>
      <c r="B5" s="4" t="s">
        <v>69</v>
      </c>
      <c r="C5" s="4" t="s">
        <v>70</v>
      </c>
      <c r="D5" s="4" t="s">
        <v>50</v>
      </c>
      <c r="E5" s="4" t="s">
        <v>40</v>
      </c>
      <c r="F5" s="4" t="s">
        <v>33</v>
      </c>
      <c r="G5" s="4" t="s">
        <v>30</v>
      </c>
      <c r="H5" s="4" t="s">
        <v>30</v>
      </c>
      <c r="I5" s="4" t="s">
        <v>34</v>
      </c>
      <c r="J5" s="4" t="s">
        <v>71</v>
      </c>
      <c r="K5" s="4" t="s">
        <v>72</v>
      </c>
      <c r="L5" s="4" t="s">
        <v>73</v>
      </c>
      <c r="M5" s="4" t="s">
        <v>74</v>
      </c>
      <c r="N5" s="4" t="s">
        <v>39</v>
      </c>
      <c r="O5" s="4" t="s">
        <v>40</v>
      </c>
      <c r="P5" s="4" t="s">
        <v>41</v>
      </c>
      <c r="Q5" s="4"/>
      <c r="R5" s="4"/>
      <c r="S5" s="4" t="s">
        <v>40</v>
      </c>
      <c r="T5" s="4" t="s">
        <v>44</v>
      </c>
    </row>
    <row r="6" customFormat="false" ht="35.05" hidden="false" customHeight="false" outlineLevel="0" collapsed="false">
      <c r="A6" s="4" t="s">
        <v>75</v>
      </c>
      <c r="B6" s="4" t="s">
        <v>76</v>
      </c>
      <c r="C6" s="4" t="s">
        <v>77</v>
      </c>
      <c r="D6" s="4" t="s">
        <v>78</v>
      </c>
      <c r="E6" s="4" t="s">
        <v>66</v>
      </c>
      <c r="F6" s="4" t="s">
        <v>30</v>
      </c>
      <c r="G6" s="4" t="s">
        <v>34</v>
      </c>
      <c r="H6" s="4" t="s">
        <v>33</v>
      </c>
      <c r="I6" s="4" t="s">
        <v>34</v>
      </c>
      <c r="J6" s="4" t="s">
        <v>79</v>
      </c>
      <c r="K6" s="4"/>
      <c r="L6" s="4" t="s">
        <v>80</v>
      </c>
      <c r="M6" s="4" t="s">
        <v>81</v>
      </c>
      <c r="N6" s="4" t="s">
        <v>82</v>
      </c>
      <c r="O6" s="4" t="s">
        <v>66</v>
      </c>
      <c r="P6" s="4" t="s">
        <v>67</v>
      </c>
      <c r="Q6" s="4"/>
      <c r="R6" s="4"/>
      <c r="S6" s="4" t="s">
        <v>66</v>
      </c>
      <c r="T6" s="4" t="s">
        <v>44</v>
      </c>
    </row>
    <row r="7" customFormat="false" ht="35.05" hidden="false" customHeight="false" outlineLevel="0" collapsed="false">
      <c r="A7" s="4" t="s">
        <v>83</v>
      </c>
      <c r="B7" s="4" t="s">
        <v>84</v>
      </c>
      <c r="C7" s="4" t="s">
        <v>77</v>
      </c>
      <c r="D7" s="4" t="s">
        <v>85</v>
      </c>
      <c r="E7" s="4" t="s">
        <v>86</v>
      </c>
      <c r="F7" s="4" t="s">
        <v>30</v>
      </c>
      <c r="G7" s="4" t="s">
        <v>30</v>
      </c>
      <c r="H7" s="4" t="s">
        <v>34</v>
      </c>
      <c r="I7" s="4" t="s">
        <v>34</v>
      </c>
      <c r="J7" s="4" t="s">
        <v>87</v>
      </c>
      <c r="K7" s="4" t="s">
        <v>88</v>
      </c>
      <c r="L7" s="4"/>
      <c r="M7" s="4" t="s">
        <v>89</v>
      </c>
      <c r="N7" s="4" t="s">
        <v>90</v>
      </c>
      <c r="O7" s="4" t="s">
        <v>86</v>
      </c>
      <c r="P7" s="4" t="s">
        <v>91</v>
      </c>
      <c r="Q7" s="4"/>
      <c r="R7" s="4"/>
      <c r="S7" s="4" t="s">
        <v>86</v>
      </c>
      <c r="T7" s="4" t="s">
        <v>44</v>
      </c>
    </row>
  </sheetData>
  <autoFilter ref="A1:T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s>
  <sheetData>
    <row r="1" customFormat="false" ht="15" hidden="false" customHeight="false" outlineLevel="0" collapsed="false">
      <c r="A1" s="5" t="s">
        <v>92</v>
      </c>
      <c r="B1" s="5" t="s">
        <v>93</v>
      </c>
    </row>
    <row r="2" customFormat="false" ht="15" hidden="false" customHeight="false" outlineLevel="0" collapsed="false">
      <c r="A2" s="2" t="s">
        <v>42</v>
      </c>
      <c r="B2" s="2" t="n">
        <f aca="false">COUNTIF(Accounts!$S$2:$S$7, A2)</f>
        <v>2</v>
      </c>
    </row>
    <row r="3" customFormat="false" ht="15" hidden="false" customHeight="false" outlineLevel="0" collapsed="false">
      <c r="A3" s="2" t="s">
        <v>66</v>
      </c>
      <c r="B3" s="2" t="n">
        <f aca="false">COUNTIF(Accounts!$S$2:$S$7, A3)</f>
        <v>2</v>
      </c>
    </row>
    <row r="4" customFormat="false" ht="15" hidden="false" customHeight="false" outlineLevel="0" collapsed="false">
      <c r="A4" s="2" t="s">
        <v>40</v>
      </c>
      <c r="B4" s="2" t="n">
        <f aca="false">COUNTIF(Accounts!$S$2:$S$7, A4)</f>
        <v>1</v>
      </c>
    </row>
    <row r="5" customFormat="false" ht="15" hidden="false" customHeight="false" outlineLevel="0" collapsed="false">
      <c r="A5" s="2" t="s">
        <v>86</v>
      </c>
      <c r="B5" s="2" t="n">
        <f aca="false">COUNTIF(Accounts!$S$2:$S$7, A5)</f>
        <v>1</v>
      </c>
    </row>
    <row r="6" customFormat="false" ht="15" hidden="false" customHeight="false" outlineLevel="0" collapsed="false">
      <c r="A6" s="2" t="s">
        <v>94</v>
      </c>
      <c r="B6" s="2" t="n">
        <f aca="false">COUNTIF(Accounts!$S$2:$S$7, A6)</f>
        <v>0</v>
      </c>
    </row>
    <row r="7" customFormat="false" ht="15" hidden="false" customHeight="false" outlineLevel="0" collapsed="false">
      <c r="A7" s="2" t="s">
        <v>95</v>
      </c>
      <c r="B7" s="2" t="n">
        <f aca="false">COUNTIF(Accounts!$S$2:$S$7, A7)</f>
        <v>0</v>
      </c>
    </row>
    <row r="8" customFormat="false" ht="15" hidden="false" customHeight="false" outlineLevel="0" collapsed="false">
      <c r="A8" s="1" t="s">
        <v>96</v>
      </c>
      <c r="B8" s="1" t="n">
        <f aca="false">SUM(B2:B7)</f>
        <v>6</v>
      </c>
    </row>
    <row r="10" customFormat="false" ht="15" hidden="false" customHeight="false" outlineLevel="0" collapsed="false">
      <c r="A10" s="2"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8"/>
    <col collapsed="false" customWidth="true" hidden="false" outlineLevel="0" max="4" min="4" style="0" width="48"/>
    <col collapsed="false" customWidth="true" hidden="false" outlineLevel="0" max="5" min="5" style="0" width="18"/>
    <col collapsed="false" customWidth="true" hidden="false" outlineLevel="0" max="6" min="6" style="0" width="48"/>
    <col collapsed="false" customWidth="true" hidden="false" outlineLevel="0" max="8" min="7" style="0" width="18"/>
  </cols>
  <sheetData>
    <row r="1" customFormat="false" ht="15" hidden="false" customHeight="false" outlineLevel="0" collapsed="false">
      <c r="A1" s="3" t="s">
        <v>7</v>
      </c>
      <c r="B1" s="3" t="s">
        <v>98</v>
      </c>
      <c r="C1" s="3" t="s">
        <v>99</v>
      </c>
      <c r="D1" s="3" t="s">
        <v>100</v>
      </c>
      <c r="E1" s="3" t="s">
        <v>101</v>
      </c>
      <c r="F1" s="3" t="s">
        <v>102</v>
      </c>
      <c r="G1" s="3" t="s">
        <v>103</v>
      </c>
      <c r="H1" s="3" t="s">
        <v>104</v>
      </c>
    </row>
    <row r="2" customFormat="false" ht="23.85" hidden="false" customHeight="false" outlineLevel="0" collapsed="false">
      <c r="A2" s="4" t="s">
        <v>27</v>
      </c>
      <c r="B2" s="4" t="s">
        <v>105</v>
      </c>
      <c r="C2" s="4" t="s">
        <v>106</v>
      </c>
      <c r="D2" s="4" t="s">
        <v>107</v>
      </c>
      <c r="E2" s="4" t="s">
        <v>108</v>
      </c>
      <c r="F2" s="4" t="s">
        <v>109</v>
      </c>
      <c r="G2" s="4" t="s">
        <v>110</v>
      </c>
      <c r="H2" s="4" t="s">
        <v>44</v>
      </c>
    </row>
    <row r="3" customFormat="false" ht="15" hidden="false" customHeight="false" outlineLevel="0" collapsed="false">
      <c r="A3" s="4" t="s">
        <v>27</v>
      </c>
      <c r="B3" s="4" t="s">
        <v>111</v>
      </c>
      <c r="C3" s="4" t="s">
        <v>112</v>
      </c>
      <c r="D3" s="4" t="s">
        <v>113</v>
      </c>
      <c r="E3" s="4" t="s">
        <v>108</v>
      </c>
      <c r="F3" s="4" t="s">
        <v>109</v>
      </c>
      <c r="G3" s="4" t="s">
        <v>110</v>
      </c>
      <c r="H3" s="4" t="s">
        <v>44</v>
      </c>
    </row>
    <row r="4" customFormat="false" ht="23.85" hidden="false" customHeight="false" outlineLevel="0" collapsed="false">
      <c r="A4" s="4" t="s">
        <v>27</v>
      </c>
      <c r="B4" s="4" t="s">
        <v>111</v>
      </c>
      <c r="C4" s="4" t="s">
        <v>112</v>
      </c>
      <c r="D4" s="4" t="s">
        <v>114</v>
      </c>
      <c r="E4" s="4" t="s">
        <v>108</v>
      </c>
      <c r="F4" s="4" t="s">
        <v>115</v>
      </c>
      <c r="G4" s="4" t="s">
        <v>110</v>
      </c>
      <c r="H4" s="4" t="s">
        <v>44</v>
      </c>
    </row>
    <row r="5" customFormat="false" ht="15" hidden="false" customHeight="false" outlineLevel="0" collapsed="false">
      <c r="A5" s="4" t="s">
        <v>27</v>
      </c>
      <c r="B5" s="4" t="s">
        <v>116</v>
      </c>
      <c r="C5" s="4" t="s">
        <v>117</v>
      </c>
      <c r="D5" s="4" t="s">
        <v>118</v>
      </c>
      <c r="E5" s="4" t="s">
        <v>108</v>
      </c>
      <c r="F5" s="4" t="s">
        <v>119</v>
      </c>
      <c r="G5" s="4" t="s">
        <v>110</v>
      </c>
      <c r="H5" s="4" t="s">
        <v>44</v>
      </c>
    </row>
    <row r="6" customFormat="false" ht="23.85" hidden="false" customHeight="false" outlineLevel="0" collapsed="false">
      <c r="A6" s="4" t="s">
        <v>27</v>
      </c>
      <c r="B6" s="4" t="s">
        <v>120</v>
      </c>
      <c r="C6" s="4" t="s">
        <v>121</v>
      </c>
      <c r="D6" s="4" t="s">
        <v>122</v>
      </c>
      <c r="E6" s="4" t="s">
        <v>108</v>
      </c>
      <c r="F6" s="4" t="s">
        <v>123</v>
      </c>
      <c r="G6" s="4" t="s">
        <v>110</v>
      </c>
      <c r="H6" s="4" t="s">
        <v>44</v>
      </c>
    </row>
    <row r="7" customFormat="false" ht="23.85" hidden="false" customHeight="false" outlineLevel="0" collapsed="false">
      <c r="A7" s="4" t="s">
        <v>27</v>
      </c>
      <c r="B7" s="4" t="s">
        <v>124</v>
      </c>
      <c r="C7" s="4" t="s">
        <v>125</v>
      </c>
      <c r="D7" s="4" t="s">
        <v>126</v>
      </c>
      <c r="E7" s="4" t="s">
        <v>108</v>
      </c>
      <c r="F7" s="4" t="s">
        <v>127</v>
      </c>
      <c r="G7" s="4" t="s">
        <v>110</v>
      </c>
      <c r="H7" s="4" t="s">
        <v>44</v>
      </c>
    </row>
    <row r="8" customFormat="false" ht="23.85" hidden="false" customHeight="false" outlineLevel="0" collapsed="false">
      <c r="A8" s="4" t="s">
        <v>27</v>
      </c>
      <c r="B8" s="4" t="s">
        <v>128</v>
      </c>
      <c r="C8" s="4" t="s">
        <v>129</v>
      </c>
      <c r="D8" s="4" t="s">
        <v>130</v>
      </c>
      <c r="E8" s="4" t="s">
        <v>131</v>
      </c>
      <c r="F8" s="4" t="s">
        <v>132</v>
      </c>
      <c r="G8" s="4"/>
      <c r="H8" s="4"/>
    </row>
    <row r="9" customFormat="false" ht="23.85" hidden="false" customHeight="false" outlineLevel="0" collapsed="false">
      <c r="A9" s="4" t="s">
        <v>27</v>
      </c>
      <c r="B9" s="4" t="s">
        <v>133</v>
      </c>
      <c r="C9" s="4" t="s">
        <v>134</v>
      </c>
      <c r="D9" s="4" t="s">
        <v>135</v>
      </c>
      <c r="E9" s="4" t="s">
        <v>131</v>
      </c>
      <c r="F9" s="4" t="s">
        <v>132</v>
      </c>
      <c r="G9" s="4"/>
      <c r="H9" s="4"/>
    </row>
    <row r="10" customFormat="false" ht="46.25" hidden="false" customHeight="false" outlineLevel="0" collapsed="false">
      <c r="A10" s="4" t="s">
        <v>27</v>
      </c>
      <c r="B10" s="4" t="s">
        <v>136</v>
      </c>
      <c r="C10" s="4" t="s">
        <v>137</v>
      </c>
      <c r="D10" s="4" t="s">
        <v>138</v>
      </c>
      <c r="E10" s="4" t="s">
        <v>108</v>
      </c>
      <c r="F10" s="4" t="s">
        <v>139</v>
      </c>
      <c r="G10" s="4" t="s">
        <v>140</v>
      </c>
      <c r="H10" s="4" t="s">
        <v>44</v>
      </c>
    </row>
    <row r="11" customFormat="false" ht="35.05" hidden="false" customHeight="false" outlineLevel="0" collapsed="false">
      <c r="A11" s="4" t="s">
        <v>27</v>
      </c>
      <c r="B11" s="4" t="s">
        <v>141</v>
      </c>
      <c r="C11" s="4" t="s">
        <v>142</v>
      </c>
      <c r="D11" s="4" t="s">
        <v>143</v>
      </c>
      <c r="E11" s="4" t="s">
        <v>131</v>
      </c>
      <c r="F11" s="4" t="s">
        <v>132</v>
      </c>
      <c r="G11" s="4"/>
      <c r="H11" s="4"/>
    </row>
    <row r="12" customFormat="false" ht="23.85" hidden="false" customHeight="false" outlineLevel="0" collapsed="false">
      <c r="A12" s="4" t="s">
        <v>27</v>
      </c>
      <c r="B12" s="4" t="s">
        <v>144</v>
      </c>
      <c r="C12" s="4" t="s">
        <v>145</v>
      </c>
      <c r="D12" s="4" t="s">
        <v>146</v>
      </c>
      <c r="E12" s="4" t="s">
        <v>147</v>
      </c>
      <c r="F12" s="4" t="s">
        <v>148</v>
      </c>
      <c r="G12" s="4"/>
      <c r="H12" s="4"/>
    </row>
    <row r="13" customFormat="false" ht="35.05" hidden="false" customHeight="false" outlineLevel="0" collapsed="false">
      <c r="A13" s="4" t="s">
        <v>45</v>
      </c>
      <c r="B13" s="4" t="s">
        <v>105</v>
      </c>
      <c r="C13" s="4" t="s">
        <v>106</v>
      </c>
      <c r="D13" s="4" t="s">
        <v>149</v>
      </c>
      <c r="E13" s="4" t="s">
        <v>108</v>
      </c>
      <c r="F13" s="4" t="s">
        <v>150</v>
      </c>
      <c r="G13" s="4" t="s">
        <v>110</v>
      </c>
      <c r="H13" s="4" t="s">
        <v>44</v>
      </c>
    </row>
    <row r="14" customFormat="false" ht="23.85" hidden="false" customHeight="false" outlineLevel="0" collapsed="false">
      <c r="A14" s="4" t="s">
        <v>45</v>
      </c>
      <c r="B14" s="4" t="s">
        <v>116</v>
      </c>
      <c r="C14" s="4" t="s">
        <v>117</v>
      </c>
      <c r="D14" s="4" t="s">
        <v>151</v>
      </c>
      <c r="E14" s="4" t="s">
        <v>108</v>
      </c>
      <c r="F14" s="4" t="s">
        <v>152</v>
      </c>
      <c r="G14" s="4" t="s">
        <v>110</v>
      </c>
      <c r="H14" s="4" t="s">
        <v>44</v>
      </c>
    </row>
    <row r="15" customFormat="false" ht="23.85" hidden="false" customHeight="false" outlineLevel="0" collapsed="false">
      <c r="A15" s="4" t="s">
        <v>45</v>
      </c>
      <c r="B15" s="4" t="s">
        <v>120</v>
      </c>
      <c r="C15" s="4" t="s">
        <v>121</v>
      </c>
      <c r="D15" s="4" t="s">
        <v>153</v>
      </c>
      <c r="E15" s="4" t="s">
        <v>147</v>
      </c>
      <c r="F15" s="4" t="s">
        <v>148</v>
      </c>
      <c r="G15" s="4" t="s">
        <v>110</v>
      </c>
      <c r="H15" s="4"/>
    </row>
    <row r="16" customFormat="false" ht="23.85" hidden="false" customHeight="false" outlineLevel="0" collapsed="false">
      <c r="A16" s="4" t="s">
        <v>45</v>
      </c>
      <c r="B16" s="4" t="s">
        <v>154</v>
      </c>
      <c r="C16" s="4" t="s">
        <v>155</v>
      </c>
      <c r="D16" s="4" t="s">
        <v>156</v>
      </c>
      <c r="E16" s="4" t="s">
        <v>147</v>
      </c>
      <c r="F16" s="4" t="s">
        <v>148</v>
      </c>
      <c r="G16" s="4"/>
      <c r="H16" s="4"/>
    </row>
    <row r="17" customFormat="false" ht="23.85" hidden="false" customHeight="false" outlineLevel="0" collapsed="false">
      <c r="A17" s="4" t="s">
        <v>45</v>
      </c>
      <c r="B17" s="4" t="s">
        <v>144</v>
      </c>
      <c r="C17" s="4" t="s">
        <v>157</v>
      </c>
      <c r="D17" s="4" t="s">
        <v>158</v>
      </c>
      <c r="E17" s="4" t="s">
        <v>147</v>
      </c>
      <c r="F17" s="4" t="s">
        <v>148</v>
      </c>
      <c r="G17" s="4"/>
      <c r="H17" s="4"/>
    </row>
    <row r="18" customFormat="false" ht="35.05" hidden="false" customHeight="false" outlineLevel="0" collapsed="false">
      <c r="A18" s="4" t="s">
        <v>57</v>
      </c>
      <c r="B18" s="4" t="s">
        <v>159</v>
      </c>
      <c r="C18" s="4" t="s">
        <v>160</v>
      </c>
      <c r="D18" s="4" t="s">
        <v>161</v>
      </c>
      <c r="E18" s="4" t="s">
        <v>108</v>
      </c>
      <c r="F18" s="4" t="s">
        <v>64</v>
      </c>
      <c r="G18" s="4" t="s">
        <v>162</v>
      </c>
      <c r="H18" s="4" t="s">
        <v>44</v>
      </c>
    </row>
    <row r="19" customFormat="false" ht="35.05" hidden="false" customHeight="false" outlineLevel="0" collapsed="false">
      <c r="A19" s="4" t="s">
        <v>57</v>
      </c>
      <c r="B19" s="4" t="s">
        <v>163</v>
      </c>
      <c r="C19" s="4" t="s">
        <v>164</v>
      </c>
      <c r="D19" s="4" t="s">
        <v>165</v>
      </c>
      <c r="E19" s="4" t="s">
        <v>108</v>
      </c>
      <c r="F19" s="4" t="s">
        <v>64</v>
      </c>
      <c r="G19" s="4" t="s">
        <v>162</v>
      </c>
      <c r="H19" s="4" t="s">
        <v>44</v>
      </c>
    </row>
    <row r="20" customFormat="false" ht="23.85" hidden="false" customHeight="false" outlineLevel="0" collapsed="false">
      <c r="A20" s="4" t="s">
        <v>57</v>
      </c>
      <c r="B20" s="4" t="s">
        <v>154</v>
      </c>
      <c r="C20" s="4" t="s">
        <v>166</v>
      </c>
      <c r="D20" s="4" t="s">
        <v>167</v>
      </c>
      <c r="E20" s="4" t="s">
        <v>131</v>
      </c>
      <c r="F20" s="4" t="s">
        <v>132</v>
      </c>
      <c r="G20" s="4"/>
      <c r="H20" s="4"/>
    </row>
    <row r="21" customFormat="false" ht="23.85" hidden="false" customHeight="false" outlineLevel="0" collapsed="false">
      <c r="A21" s="4" t="s">
        <v>57</v>
      </c>
      <c r="B21" s="4" t="s">
        <v>168</v>
      </c>
      <c r="C21" s="4" t="s">
        <v>169</v>
      </c>
      <c r="D21" s="4" t="s">
        <v>170</v>
      </c>
      <c r="E21" s="4" t="s">
        <v>131</v>
      </c>
      <c r="F21" s="4" t="s">
        <v>132</v>
      </c>
      <c r="G21" s="4"/>
      <c r="H21" s="4"/>
    </row>
    <row r="22" customFormat="false" ht="23.85" hidden="false" customHeight="false" outlineLevel="0" collapsed="false">
      <c r="A22" s="4" t="s">
        <v>57</v>
      </c>
      <c r="B22" s="4" t="s">
        <v>171</v>
      </c>
      <c r="C22" s="4" t="s">
        <v>172</v>
      </c>
      <c r="D22" s="4" t="s">
        <v>173</v>
      </c>
      <c r="E22" s="4" t="s">
        <v>147</v>
      </c>
      <c r="F22" s="4" t="s">
        <v>148</v>
      </c>
      <c r="G22" s="4" t="s">
        <v>110</v>
      </c>
      <c r="H22" s="4"/>
    </row>
    <row r="23" customFormat="false" ht="23.85" hidden="false" customHeight="false" outlineLevel="0" collapsed="false">
      <c r="A23" s="4" t="s">
        <v>68</v>
      </c>
      <c r="B23" s="4" t="s">
        <v>105</v>
      </c>
      <c r="C23" s="4" t="s">
        <v>106</v>
      </c>
      <c r="D23" s="4" t="s">
        <v>174</v>
      </c>
      <c r="E23" s="4" t="s">
        <v>108</v>
      </c>
      <c r="F23" s="4" t="s">
        <v>175</v>
      </c>
      <c r="G23" s="4" t="s">
        <v>110</v>
      </c>
      <c r="H23" s="4" t="s">
        <v>44</v>
      </c>
    </row>
    <row r="24" customFormat="false" ht="15" hidden="false" customHeight="false" outlineLevel="0" collapsed="false">
      <c r="A24" s="4" t="s">
        <v>68</v>
      </c>
      <c r="B24" s="4" t="s">
        <v>111</v>
      </c>
      <c r="C24" s="4" t="s">
        <v>112</v>
      </c>
      <c r="D24" s="4" t="s">
        <v>176</v>
      </c>
      <c r="E24" s="4" t="s">
        <v>108</v>
      </c>
      <c r="F24" s="4" t="s">
        <v>177</v>
      </c>
      <c r="G24" s="4" t="s">
        <v>110</v>
      </c>
      <c r="H24" s="4" t="s">
        <v>44</v>
      </c>
    </row>
    <row r="25" customFormat="false" ht="46.25" hidden="false" customHeight="false" outlineLevel="0" collapsed="false">
      <c r="A25" s="4" t="s">
        <v>68</v>
      </c>
      <c r="B25" s="4" t="s">
        <v>136</v>
      </c>
      <c r="C25" s="4" t="s">
        <v>137</v>
      </c>
      <c r="D25" s="4" t="s">
        <v>178</v>
      </c>
      <c r="E25" s="4" t="s">
        <v>108</v>
      </c>
      <c r="F25" s="4" t="s">
        <v>179</v>
      </c>
      <c r="G25" s="4" t="s">
        <v>180</v>
      </c>
      <c r="H25" s="4" t="s">
        <v>44</v>
      </c>
    </row>
    <row r="26" customFormat="false" ht="23.85" hidden="false" customHeight="false" outlineLevel="0" collapsed="false">
      <c r="A26" s="4" t="s">
        <v>68</v>
      </c>
      <c r="B26" s="4" t="s">
        <v>128</v>
      </c>
      <c r="C26" s="4" t="s">
        <v>142</v>
      </c>
      <c r="D26" s="4" t="s">
        <v>181</v>
      </c>
      <c r="E26" s="4" t="s">
        <v>131</v>
      </c>
      <c r="F26" s="4" t="s">
        <v>132</v>
      </c>
      <c r="G26" s="4"/>
      <c r="H26" s="4"/>
    </row>
    <row r="27" customFormat="false" ht="23.85" hidden="false" customHeight="false" outlineLevel="0" collapsed="false">
      <c r="A27" s="4" t="s">
        <v>68</v>
      </c>
      <c r="B27" s="4" t="s">
        <v>144</v>
      </c>
      <c r="C27" s="4" t="s">
        <v>182</v>
      </c>
      <c r="D27" s="4" t="s">
        <v>183</v>
      </c>
      <c r="E27" s="4" t="s">
        <v>147</v>
      </c>
      <c r="F27" s="4" t="s">
        <v>148</v>
      </c>
      <c r="G27" s="4"/>
      <c r="H27" s="4"/>
    </row>
    <row r="28" customFormat="false" ht="23.85" hidden="false" customHeight="false" outlineLevel="0" collapsed="false">
      <c r="A28" s="4" t="s">
        <v>75</v>
      </c>
      <c r="B28" s="4" t="s">
        <v>105</v>
      </c>
      <c r="C28" s="4" t="s">
        <v>106</v>
      </c>
      <c r="D28" s="4" t="s">
        <v>184</v>
      </c>
      <c r="E28" s="4" t="s">
        <v>108</v>
      </c>
      <c r="F28" s="4" t="s">
        <v>81</v>
      </c>
      <c r="G28" s="4" t="s">
        <v>110</v>
      </c>
      <c r="H28" s="4" t="s">
        <v>44</v>
      </c>
    </row>
    <row r="29" customFormat="false" ht="15" hidden="false" customHeight="false" outlineLevel="0" collapsed="false">
      <c r="A29" s="4" t="s">
        <v>75</v>
      </c>
      <c r="B29" s="4" t="s">
        <v>185</v>
      </c>
      <c r="C29" s="4" t="s">
        <v>186</v>
      </c>
      <c r="D29" s="4" t="s">
        <v>187</v>
      </c>
      <c r="E29" s="4" t="s">
        <v>147</v>
      </c>
      <c r="F29" s="4" t="s">
        <v>148</v>
      </c>
      <c r="G29" s="4"/>
      <c r="H29" s="4"/>
    </row>
    <row r="30" customFormat="false" ht="15" hidden="false" customHeight="false" outlineLevel="0" collapsed="false">
      <c r="A30" s="4" t="s">
        <v>75</v>
      </c>
      <c r="B30" s="4" t="s">
        <v>111</v>
      </c>
      <c r="C30" s="4" t="s">
        <v>188</v>
      </c>
      <c r="D30" s="4" t="s">
        <v>189</v>
      </c>
      <c r="E30" s="4" t="s">
        <v>147</v>
      </c>
      <c r="F30" s="4" t="s">
        <v>148</v>
      </c>
      <c r="G30" s="4"/>
      <c r="H30" s="4"/>
    </row>
    <row r="31" customFormat="false" ht="15" hidden="false" customHeight="false" outlineLevel="0" collapsed="false">
      <c r="A31" s="4" t="s">
        <v>75</v>
      </c>
      <c r="B31" s="4" t="s">
        <v>124</v>
      </c>
      <c r="C31" s="4" t="s">
        <v>190</v>
      </c>
      <c r="D31" s="4" t="s">
        <v>191</v>
      </c>
      <c r="E31" s="4" t="s">
        <v>147</v>
      </c>
      <c r="F31" s="4" t="s">
        <v>148</v>
      </c>
      <c r="G31" s="4"/>
      <c r="H31" s="4"/>
    </row>
    <row r="32" customFormat="false" ht="23.85" hidden="false" customHeight="false" outlineLevel="0" collapsed="false">
      <c r="A32" s="4" t="s">
        <v>83</v>
      </c>
      <c r="B32" s="4" t="s">
        <v>192</v>
      </c>
      <c r="C32" s="4" t="s">
        <v>193</v>
      </c>
      <c r="D32" s="4" t="s">
        <v>194</v>
      </c>
      <c r="E32" s="4" t="s">
        <v>108</v>
      </c>
      <c r="F32" s="4" t="s">
        <v>89</v>
      </c>
      <c r="G32" s="4" t="s">
        <v>110</v>
      </c>
      <c r="H32" s="4" t="s">
        <v>44</v>
      </c>
    </row>
    <row r="33" customFormat="false" ht="15" hidden="false" customHeight="false" outlineLevel="0" collapsed="false">
      <c r="A33" s="4" t="s">
        <v>83</v>
      </c>
      <c r="B33" s="4" t="s">
        <v>192</v>
      </c>
      <c r="C33" s="4" t="s">
        <v>195</v>
      </c>
      <c r="D33" s="4" t="s">
        <v>196</v>
      </c>
      <c r="E33" s="4" t="s">
        <v>131</v>
      </c>
      <c r="F33" s="4" t="s">
        <v>132</v>
      </c>
      <c r="G33" s="4"/>
      <c r="H33" s="4"/>
    </row>
    <row r="34" customFormat="false" ht="35.05" hidden="false" customHeight="false" outlineLevel="0" collapsed="false">
      <c r="A34" s="4" t="s">
        <v>45</v>
      </c>
      <c r="B34" s="4" t="s">
        <v>111</v>
      </c>
      <c r="C34" s="4" t="s">
        <v>112</v>
      </c>
      <c r="D34" s="4" t="s">
        <v>197</v>
      </c>
      <c r="E34" s="4" t="s">
        <v>108</v>
      </c>
      <c r="F34" s="4" t="s">
        <v>198</v>
      </c>
      <c r="G34" s="4" t="s">
        <v>110</v>
      </c>
      <c r="H34" s="4" t="s">
        <v>44</v>
      </c>
    </row>
    <row r="35" customFormat="false" ht="35.05" hidden="false" customHeight="false" outlineLevel="0" collapsed="false">
      <c r="A35" s="4" t="s">
        <v>45</v>
      </c>
      <c r="B35" s="4" t="s">
        <v>199</v>
      </c>
      <c r="C35" s="4" t="s">
        <v>200</v>
      </c>
      <c r="D35" s="4" t="s">
        <v>201</v>
      </c>
      <c r="E35" s="4" t="s">
        <v>108</v>
      </c>
      <c r="F35" s="4" t="s">
        <v>198</v>
      </c>
      <c r="G35" s="4" t="s">
        <v>110</v>
      </c>
      <c r="H35" s="4" t="s">
        <v>44</v>
      </c>
    </row>
    <row r="36" customFormat="false" ht="23.85" hidden="false" customHeight="false" outlineLevel="0" collapsed="false">
      <c r="A36" s="4" t="s">
        <v>45</v>
      </c>
      <c r="B36" s="4" t="s">
        <v>168</v>
      </c>
      <c r="C36" s="4" t="s">
        <v>169</v>
      </c>
      <c r="D36" s="4" t="s">
        <v>202</v>
      </c>
      <c r="E36" s="4" t="s">
        <v>131</v>
      </c>
      <c r="F36" s="4" t="s">
        <v>132</v>
      </c>
      <c r="G36" s="4"/>
      <c r="H36" s="4"/>
    </row>
    <row r="37" customFormat="false" ht="23.85" hidden="false" customHeight="false" outlineLevel="0" collapsed="false">
      <c r="A37" s="4" t="s">
        <v>45</v>
      </c>
      <c r="B37" s="4" t="s">
        <v>168</v>
      </c>
      <c r="C37" s="4" t="s">
        <v>203</v>
      </c>
      <c r="D37" s="4" t="s">
        <v>204</v>
      </c>
      <c r="E37" s="4" t="s">
        <v>147</v>
      </c>
      <c r="F37" s="4" t="s">
        <v>148</v>
      </c>
      <c r="G37" s="4"/>
      <c r="H37" s="4"/>
    </row>
  </sheetData>
  <autoFilter ref="A1:H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48"/>
  </cols>
  <sheetData>
    <row r="1" customFormat="false" ht="15" hidden="false" customHeight="false" outlineLevel="0" collapsed="false">
      <c r="A1" s="3" t="s">
        <v>7</v>
      </c>
      <c r="B1" s="3" t="s">
        <v>23</v>
      </c>
      <c r="C1" s="3" t="s">
        <v>205</v>
      </c>
    </row>
    <row r="2" customFormat="false" ht="57.45" hidden="false" customHeight="false" outlineLevel="0" collapsed="false">
      <c r="A2" s="4" t="s">
        <v>27</v>
      </c>
      <c r="B2" s="4" t="s">
        <v>42</v>
      </c>
      <c r="C2" s="4" t="s">
        <v>43</v>
      </c>
    </row>
  </sheetData>
  <autoFilter ref="A1:C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2026-10-14T17:33:21Z</dcterms:created>
  <dc:creator>openpyxl</dc:creator>
  <dc:description/>
  <dc:language>en-US</dc:language>
  <cp:lastModifiedBy/>
  <dcterms:modified xsi:type="dcterms:W3CDTF">2026-10-14T17:33:21Z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